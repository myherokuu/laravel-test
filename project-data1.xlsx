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ales" sheetId="2" state="visible" r:id="rId2"/>
    <sheet name="Monthly Summary" sheetId="3" state="visible" r:id="rId3"/>
    <sheet name="Category Summary" sheetId="4" state="visible" r:id="rId4"/>
    <sheet name="Paymen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8" customWidth="1" min="4" max="4"/>
  </cols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Unit Price (RM)</t>
        </is>
      </c>
      <c r="E1" t="inlineStr"/>
      <c r="F1" t="inlineStr"/>
      <c r="G1" t="inlineStr"/>
      <c r="H1" t="inlineStr"/>
    </row>
    <row r="2">
      <c r="A2" s="2" t="inlineStr">
        <is>
          <t>P001</t>
        </is>
      </c>
      <c r="B2" s="2" t="inlineStr">
        <is>
          <t>Wireless Mouse</t>
        </is>
      </c>
      <c r="C2" s="2" t="inlineStr">
        <is>
          <t>Electronics</t>
        </is>
      </c>
      <c r="D2" s="3" t="inlineStr">
        <is>
          <t>79.9</t>
        </is>
      </c>
      <c r="E2" t="inlineStr"/>
      <c r="F2" t="inlineStr"/>
      <c r="G2" t="inlineStr"/>
      <c r="H2" t="inlineStr"/>
    </row>
    <row r="3">
      <c r="A3" s="2" t="inlineStr">
        <is>
          <t>P002</t>
        </is>
      </c>
      <c r="B3" s="2" t="inlineStr">
        <is>
          <t>USB-C Hub 7-in-1</t>
        </is>
      </c>
      <c r="C3" s="2" t="inlineStr">
        <is>
          <t>Electronics</t>
        </is>
      </c>
      <c r="D3" s="3" t="inlineStr">
        <is>
          <t>149</t>
        </is>
      </c>
      <c r="E3" t="inlineStr"/>
      <c r="F3" t="inlineStr"/>
      <c r="G3" t="inlineStr"/>
      <c r="H3" t="inlineStr"/>
    </row>
    <row r="4">
      <c r="A4" s="2" t="inlineStr">
        <is>
          <t>P003</t>
        </is>
      </c>
      <c r="B4" s="2" t="inlineStr">
        <is>
          <t>Mechanical Keyboard</t>
        </is>
      </c>
      <c r="C4" s="2" t="inlineStr">
        <is>
          <t>Electronics</t>
        </is>
      </c>
      <c r="D4" s="3" t="inlineStr">
        <is>
          <t>249.9</t>
        </is>
      </c>
      <c r="E4" t="inlineStr"/>
      <c r="F4" t="inlineStr"/>
      <c r="G4" t="inlineStr"/>
      <c r="H4" t="inlineStr"/>
    </row>
    <row r="5">
      <c r="A5" s="2" t="inlineStr">
        <is>
          <t>P004</t>
        </is>
      </c>
      <c r="B5" s="2" t="inlineStr">
        <is>
          <t>Monitor Stand</t>
        </is>
      </c>
      <c r="C5" s="2" t="inlineStr">
        <is>
          <t>Accessories</t>
        </is>
      </c>
      <c r="D5" s="3" t="inlineStr">
        <is>
          <t>99</t>
        </is>
      </c>
      <c r="E5" t="inlineStr"/>
      <c r="F5" t="inlineStr"/>
      <c r="G5" t="inlineStr"/>
      <c r="H5" t="inlineStr"/>
    </row>
    <row r="6">
      <c r="A6" s="2" t="inlineStr">
        <is>
          <t>P005</t>
        </is>
      </c>
      <c r="B6" s="2" t="inlineStr">
        <is>
          <t>Webcam HD 1080p</t>
        </is>
      </c>
      <c r="C6" s="2" t="inlineStr">
        <is>
          <t>Electronics</t>
        </is>
      </c>
      <c r="D6" s="3" t="inlineStr">
        <is>
          <t>129.9</t>
        </is>
      </c>
      <c r="E6" t="inlineStr"/>
      <c r="F6" t="inlineStr"/>
      <c r="G6" t="inlineStr"/>
      <c r="H6" t="inlineStr"/>
    </row>
    <row r="7">
      <c r="A7" s="2" t="inlineStr">
        <is>
          <t>P006</t>
        </is>
      </c>
      <c r="B7" s="2" t="inlineStr">
        <is>
          <t>Desk Lamp LED</t>
        </is>
      </c>
      <c r="C7" s="2" t="inlineStr">
        <is>
          <t>Accessories</t>
        </is>
      </c>
      <c r="D7" s="3" t="inlineStr">
        <is>
          <t>59.9</t>
        </is>
      </c>
      <c r="E7" t="inlineStr"/>
      <c r="F7" t="inlineStr"/>
      <c r="G7" t="inlineStr"/>
      <c r="H7" t="inlineStr"/>
    </row>
    <row r="8">
      <c r="A8" s="2" t="inlineStr">
        <is>
          <t>P007</t>
        </is>
      </c>
      <c r="B8" s="2" t="inlineStr">
        <is>
          <t>Ergonomic Chair</t>
        </is>
      </c>
      <c r="C8" s="2" t="inlineStr">
        <is>
          <t>Furniture</t>
        </is>
      </c>
      <c r="D8" s="3" t="inlineStr">
        <is>
          <t>899</t>
        </is>
      </c>
      <c r="E8" t="inlineStr"/>
      <c r="F8" t="inlineStr"/>
      <c r="G8" t="inlineStr"/>
      <c r="H8" t="inlineStr"/>
    </row>
    <row r="9">
      <c r="A9" s="2" t="inlineStr">
        <is>
          <t>P008</t>
        </is>
      </c>
      <c r="B9" s="2" t="inlineStr">
        <is>
          <t>Standing Desk</t>
        </is>
      </c>
      <c r="C9" s="2" t="inlineStr">
        <is>
          <t>Furniture</t>
        </is>
      </c>
      <c r="D9" s="3" t="inlineStr">
        <is>
          <t>1299</t>
        </is>
      </c>
      <c r="E9" t="inlineStr"/>
      <c r="F9" t="inlineStr"/>
      <c r="G9" t="inlineStr"/>
      <c r="H9" t="inlineStr"/>
    </row>
    <row r="10">
      <c r="A10" s="2" t="inlineStr">
        <is>
          <t>P009</t>
        </is>
      </c>
      <c r="B10" s="2" t="inlineStr">
        <is>
          <t>Notebook A5 3-pack</t>
        </is>
      </c>
      <c r="C10" s="2" t="inlineStr">
        <is>
          <t>Stationery</t>
        </is>
      </c>
      <c r="D10" s="3" t="inlineStr">
        <is>
          <t>24.9</t>
        </is>
      </c>
      <c r="E10" t="inlineStr"/>
      <c r="F10" t="inlineStr"/>
      <c r="G10" t="inlineStr"/>
      <c r="H10" t="inlineStr"/>
    </row>
    <row r="11">
      <c r="A11" s="2" t="inlineStr">
        <is>
          <t>P010</t>
        </is>
      </c>
      <c r="B11" s="2" t="inlineStr">
        <is>
          <t>Whiteboard 60x90cm</t>
        </is>
      </c>
      <c r="C11" s="2" t="inlineStr">
        <is>
          <t>Accessories</t>
        </is>
      </c>
      <c r="D11" s="3" t="inlineStr">
        <is>
          <t>189</t>
        </is>
      </c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0" customWidth="1" min="3" max="3"/>
    <col width="30" customWidth="1" min="4" max="4"/>
    <col width="15" customWidth="1" min="5" max="5"/>
    <col width="17" customWidth="1" min="6" max="6"/>
    <col width="30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Product Code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Payment Method</t>
        </is>
      </c>
      <c r="G1" s="1" t="inlineStr">
        <is>
          <t>Unit Price (RM)</t>
        </is>
      </c>
      <c r="H1" s="1" t="inlineStr">
        <is>
          <t>Total (RM)</t>
        </is>
      </c>
    </row>
    <row r="2">
      <c r="A2" s="12" t="n">
        <v>46027</v>
      </c>
      <c r="B2" s="5" t="inlineStr">
        <is>
          <t>P001</t>
        </is>
      </c>
      <c r="C2" s="2">
        <f>VLOOKUP($B2,Products!$A$2:$D$11,2,FALSE)</f>
        <v/>
      </c>
      <c r="D2" s="2">
        <f>VLOOKUP($B2,Products!$A$2:$D$11,3,FALSE)</f>
        <v/>
      </c>
      <c r="E2" s="6" t="n">
        <v>12</v>
      </c>
      <c r="F2" s="5" t="inlineStr">
        <is>
          <t>Cash</t>
        </is>
      </c>
      <c r="G2" s="3">
        <f>VLOOKUP($B2,Products!$A$2:$D$11,4,FALSE)</f>
        <v/>
      </c>
      <c r="H2" s="3">
        <f>E2*G2</f>
        <v/>
      </c>
    </row>
    <row r="3">
      <c r="A3" s="12" t="n">
        <v>46030</v>
      </c>
      <c r="B3" s="5" t="inlineStr">
        <is>
          <t>P003</t>
        </is>
      </c>
      <c r="C3" s="2">
        <f>VLOOKUP($B3,Products!$A$2:$D$11,2,FALSE)</f>
        <v/>
      </c>
      <c r="D3" s="2">
        <f>VLOOKUP($B3,Products!$A$2:$D$11,3,FALSE)</f>
        <v/>
      </c>
      <c r="E3" s="6" t="n">
        <v>5</v>
      </c>
      <c r="F3" s="5" t="inlineStr">
        <is>
          <t>Credit Card</t>
        </is>
      </c>
      <c r="G3" s="3">
        <f>VLOOKUP($B3,Products!$A$2:$D$11,4,FALSE)</f>
        <v/>
      </c>
      <c r="H3" s="3">
        <f>E3*G3</f>
        <v/>
      </c>
    </row>
    <row r="4">
      <c r="A4" s="12" t="n">
        <v>46037</v>
      </c>
      <c r="B4" s="5" t="inlineStr">
        <is>
          <t>P007</t>
        </is>
      </c>
      <c r="C4" s="2">
        <f>VLOOKUP($B4,Products!$A$2:$D$11,2,FALSE)</f>
        <v/>
      </c>
      <c r="D4" s="2">
        <f>VLOOKUP($B4,Products!$A$2:$D$11,3,FALSE)</f>
        <v/>
      </c>
      <c r="E4" s="6" t="n">
        <v>2</v>
      </c>
      <c r="F4" s="5" t="inlineStr">
        <is>
          <t>Bank Transfer</t>
        </is>
      </c>
      <c r="G4" s="3">
        <f>VLOOKUP($B4,Products!$A$2:$D$11,4,FALSE)</f>
        <v/>
      </c>
      <c r="H4" s="3">
        <f>E4*G4</f>
        <v/>
      </c>
    </row>
    <row r="5">
      <c r="A5" s="12" t="n">
        <v>46044</v>
      </c>
      <c r="B5" s="5" t="inlineStr">
        <is>
          <t>P002</t>
        </is>
      </c>
      <c r="C5" s="2">
        <f>VLOOKUP($B5,Products!$A$2:$D$11,2,FALSE)</f>
        <v/>
      </c>
      <c r="D5" s="2">
        <f>VLOOKUP($B5,Products!$A$2:$D$11,3,FALSE)</f>
        <v/>
      </c>
      <c r="E5" s="6" t="n">
        <v>10</v>
      </c>
      <c r="F5" s="5" t="inlineStr">
        <is>
          <t>Cash</t>
        </is>
      </c>
      <c r="G5" s="3">
        <f>VLOOKUP($B5,Products!$A$2:$D$11,4,FALSE)</f>
        <v/>
      </c>
      <c r="H5" s="3">
        <f>E5*G5</f>
        <v/>
      </c>
    </row>
    <row r="6">
      <c r="A6" s="12" t="n">
        <v>46056</v>
      </c>
      <c r="B6" s="5" t="inlineStr">
        <is>
          <t>P005</t>
        </is>
      </c>
      <c r="C6" s="2">
        <f>VLOOKUP($B6,Products!$A$2:$D$11,2,FALSE)</f>
        <v/>
      </c>
      <c r="D6" s="2">
        <f>VLOOKUP($B6,Products!$A$2:$D$11,3,FALSE)</f>
        <v/>
      </c>
      <c r="E6" s="6" t="n">
        <v>8</v>
      </c>
      <c r="F6" s="5" t="inlineStr">
        <is>
          <t>Credit Card</t>
        </is>
      </c>
      <c r="G6" s="3">
        <f>VLOOKUP($B6,Products!$A$2:$D$11,4,FALSE)</f>
        <v/>
      </c>
      <c r="H6" s="3">
        <f>E6*G6</f>
        <v/>
      </c>
    </row>
    <row r="7">
      <c r="A7" s="12" t="n">
        <v>46063</v>
      </c>
      <c r="B7" s="5" t="inlineStr">
        <is>
          <t>P004</t>
        </is>
      </c>
      <c r="C7" s="2">
        <f>VLOOKUP($B7,Products!$A$2:$D$11,2,FALSE)</f>
        <v/>
      </c>
      <c r="D7" s="2">
        <f>VLOOKUP($B7,Products!$A$2:$D$11,3,FALSE)</f>
        <v/>
      </c>
      <c r="E7" s="6" t="n">
        <v>15</v>
      </c>
      <c r="F7" s="5" t="inlineStr">
        <is>
          <t>Cash</t>
        </is>
      </c>
      <c r="G7" s="3">
        <f>VLOOKUP($B7,Products!$A$2:$D$11,4,FALSE)</f>
        <v/>
      </c>
      <c r="H7" s="3">
        <f>E7*G7</f>
        <v/>
      </c>
    </row>
    <row r="8">
      <c r="A8" s="12" t="n">
        <v>46071</v>
      </c>
      <c r="B8" s="5" t="inlineStr">
        <is>
          <t>P008</t>
        </is>
      </c>
      <c r="C8" s="2">
        <f>VLOOKUP($B8,Products!$A$2:$D$11,2,FALSE)</f>
        <v/>
      </c>
      <c r="D8" s="2">
        <f>VLOOKUP($B8,Products!$A$2:$D$11,3,FALSE)</f>
        <v/>
      </c>
      <c r="E8" s="6" t="n">
        <v>1</v>
      </c>
      <c r="F8" s="5" t="inlineStr">
        <is>
          <t>Bank Transfer</t>
        </is>
      </c>
      <c r="G8" s="3">
        <f>VLOOKUP($B8,Products!$A$2:$D$11,4,FALSE)</f>
        <v/>
      </c>
      <c r="H8" s="3">
        <f>E8*G8</f>
        <v/>
      </c>
    </row>
    <row r="9">
      <c r="A9" s="12" t="n">
        <v>46078</v>
      </c>
      <c r="B9" s="5" t="inlineStr">
        <is>
          <t>P009</t>
        </is>
      </c>
      <c r="C9" s="2">
        <f>VLOOKUP($B9,Products!$A$2:$D$11,2,FALSE)</f>
        <v/>
      </c>
      <c r="D9" s="2">
        <f>VLOOKUP($B9,Products!$A$2:$D$11,3,FALSE)</f>
        <v/>
      </c>
      <c r="E9" s="6" t="n">
        <v>20</v>
      </c>
      <c r="F9" s="5" t="inlineStr">
        <is>
          <t>Cash</t>
        </is>
      </c>
      <c r="G9" s="3">
        <f>VLOOKUP($B9,Products!$A$2:$D$11,4,FALSE)</f>
        <v/>
      </c>
      <c r="H9" s="3">
        <f>E9*G9</f>
        <v/>
      </c>
    </row>
    <row r="10">
      <c r="A10" s="12" t="n">
        <v>46083</v>
      </c>
      <c r="B10" s="5" t="inlineStr">
        <is>
          <t>P006</t>
        </is>
      </c>
      <c r="C10" s="2">
        <f>VLOOKUP($B10,Products!$A$2:$D$11,2,FALSE)</f>
        <v/>
      </c>
      <c r="D10" s="2">
        <f>VLOOKUP($B10,Products!$A$2:$D$11,3,FALSE)</f>
        <v/>
      </c>
      <c r="E10" s="6" t="n">
        <v>10</v>
      </c>
      <c r="F10" s="5" t="inlineStr">
        <is>
          <t>Cash</t>
        </is>
      </c>
      <c r="G10" s="3">
        <f>VLOOKUP($B10,Products!$A$2:$D$11,4,FALSE)</f>
        <v/>
      </c>
      <c r="H10" s="3">
        <f>E10*G10</f>
        <v/>
      </c>
    </row>
    <row r="11">
      <c r="A11" s="12" t="n">
        <v>46090</v>
      </c>
      <c r="B11" s="5" t="inlineStr">
        <is>
          <t>P001</t>
        </is>
      </c>
      <c r="C11" s="2">
        <f>VLOOKUP($B11,Products!$A$2:$D$11,2,FALSE)</f>
        <v/>
      </c>
      <c r="D11" s="2">
        <f>VLOOKUP($B11,Products!$A$2:$D$11,3,FALSE)</f>
        <v/>
      </c>
      <c r="E11" s="6" t="n">
        <v>15</v>
      </c>
      <c r="F11" s="5" t="inlineStr">
        <is>
          <t>Credit Card</t>
        </is>
      </c>
      <c r="G11" s="3">
        <f>VLOOKUP($B11,Products!$A$2:$D$11,4,FALSE)</f>
        <v/>
      </c>
      <c r="H11" s="3">
        <f>E11*G11</f>
        <v/>
      </c>
    </row>
    <row r="12">
      <c r="A12" s="12" t="n">
        <v>46095</v>
      </c>
      <c r="B12" s="5" t="inlineStr">
        <is>
          <t>P010</t>
        </is>
      </c>
      <c r="C12" s="2">
        <f>VLOOKUP($B12,Products!$A$2:$D$11,2,FALSE)</f>
        <v/>
      </c>
      <c r="D12" s="2">
        <f>VLOOKUP($B12,Products!$A$2:$D$11,3,FALSE)</f>
        <v/>
      </c>
      <c r="E12" s="6" t="n">
        <v>6</v>
      </c>
      <c r="F12" s="5" t="inlineStr">
        <is>
          <t>Bank Transfer</t>
        </is>
      </c>
      <c r="G12" s="3">
        <f>VLOOKUP($B12,Products!$A$2:$D$11,4,FALSE)</f>
        <v/>
      </c>
      <c r="H12" s="3">
        <f>E12*G12</f>
        <v/>
      </c>
    </row>
    <row r="13">
      <c r="A13" s="12" t="n">
        <v>46101</v>
      </c>
      <c r="B13" s="5" t="inlineStr">
        <is>
          <t>P003</t>
        </is>
      </c>
      <c r="C13" s="2">
        <f>VLOOKUP($B13,Products!$A$2:$D$11,2,FALSE)</f>
        <v/>
      </c>
      <c r="D13" s="2">
        <f>VLOOKUP($B13,Products!$A$2:$D$11,3,FALSE)</f>
        <v/>
      </c>
      <c r="E13" s="6" t="n">
        <v>8</v>
      </c>
      <c r="F13" s="5" t="inlineStr">
        <is>
          <t>Credit Card</t>
        </is>
      </c>
      <c r="G13" s="3">
        <f>VLOOKUP($B13,Products!$A$2:$D$11,4,FALSE)</f>
        <v/>
      </c>
      <c r="H13" s="3">
        <f>E13*G13</f>
        <v/>
      </c>
    </row>
    <row r="14">
      <c r="A14" s="12" t="n">
        <v>46109</v>
      </c>
      <c r="B14" s="5" t="inlineStr">
        <is>
          <t>P007</t>
        </is>
      </c>
      <c r="C14" s="2">
        <f>VLOOKUP($B14,Products!$A$2:$D$11,2,FALSE)</f>
        <v/>
      </c>
      <c r="D14" s="2">
        <f>VLOOKUP($B14,Products!$A$2:$D$11,3,FALSE)</f>
        <v/>
      </c>
      <c r="E14" s="6" t="n">
        <v>3</v>
      </c>
      <c r="F14" s="5" t="inlineStr">
        <is>
          <t>Bank Transfer</t>
        </is>
      </c>
      <c r="G14" s="3">
        <f>VLOOKUP($B14,Products!$A$2:$D$11,4,FALSE)</f>
        <v/>
      </c>
      <c r="H14" s="3">
        <f>E14*G14</f>
        <v/>
      </c>
    </row>
    <row r="15">
      <c r="A15" s="12" t="n">
        <v>46113</v>
      </c>
      <c r="B15" s="5" t="inlineStr">
        <is>
          <t>P002</t>
        </is>
      </c>
      <c r="C15" s="2">
        <f>VLOOKUP($B15,Products!$A$2:$D$11,2,FALSE)</f>
        <v/>
      </c>
      <c r="D15" s="2">
        <f>VLOOKUP($B15,Products!$A$2:$D$11,3,FALSE)</f>
        <v/>
      </c>
      <c r="E15" s="6" t="n">
        <v>12</v>
      </c>
      <c r="F15" s="5" t="inlineStr">
        <is>
          <t>Cash</t>
        </is>
      </c>
      <c r="G15" s="3">
        <f>VLOOKUP($B15,Products!$A$2:$D$11,4,FALSE)</f>
        <v/>
      </c>
      <c r="H15" s="3">
        <f>E15*G15</f>
        <v/>
      </c>
    </row>
    <row r="16">
      <c r="A16" s="12" t="n">
        <v>46119</v>
      </c>
      <c r="B16" s="5" t="inlineStr">
        <is>
          <t>P005</t>
        </is>
      </c>
      <c r="C16" s="2">
        <f>VLOOKUP($B16,Products!$A$2:$D$11,2,FALSE)</f>
        <v/>
      </c>
      <c r="D16" s="2">
        <f>VLOOKUP($B16,Products!$A$2:$D$11,3,FALSE)</f>
        <v/>
      </c>
      <c r="E16" s="6" t="n">
        <v>6</v>
      </c>
      <c r="F16" s="5" t="inlineStr">
        <is>
          <t>Credit Card</t>
        </is>
      </c>
      <c r="G16" s="3">
        <f>VLOOKUP($B16,Products!$A$2:$D$11,4,FALSE)</f>
        <v/>
      </c>
      <c r="H16" s="3">
        <f>E16*G16</f>
        <v/>
      </c>
    </row>
    <row r="17">
      <c r="A17" s="12" t="n">
        <v>46127</v>
      </c>
      <c r="B17" s="5" t="inlineStr">
        <is>
          <t>P008</t>
        </is>
      </c>
      <c r="C17" s="2">
        <f>VLOOKUP($B17,Products!$A$2:$D$11,2,FALSE)</f>
        <v/>
      </c>
      <c r="D17" s="2">
        <f>VLOOKUP($B17,Products!$A$2:$D$11,3,FALSE)</f>
        <v/>
      </c>
      <c r="E17" s="6" t="n">
        <v>2</v>
      </c>
      <c r="F17" s="5" t="inlineStr">
        <is>
          <t>Bank Transfer</t>
        </is>
      </c>
      <c r="G17" s="3">
        <f>VLOOKUP($B17,Products!$A$2:$D$11,4,FALSE)</f>
        <v/>
      </c>
      <c r="H17" s="3">
        <f>E17*G17</f>
        <v/>
      </c>
    </row>
    <row r="18">
      <c r="A18" s="12" t="n">
        <v>46134</v>
      </c>
      <c r="B18" s="5" t="inlineStr">
        <is>
          <t>P004</t>
        </is>
      </c>
      <c r="C18" s="2">
        <f>VLOOKUP($B18,Products!$A$2:$D$11,2,FALSE)</f>
        <v/>
      </c>
      <c r="D18" s="2">
        <f>VLOOKUP($B18,Products!$A$2:$D$11,3,FALSE)</f>
        <v/>
      </c>
      <c r="E18" s="6" t="n">
        <v>10</v>
      </c>
      <c r="F18" s="5" t="inlineStr">
        <is>
          <t>Cash</t>
        </is>
      </c>
      <c r="G18" s="3">
        <f>VLOOKUP($B18,Products!$A$2:$D$11,4,FALSE)</f>
        <v/>
      </c>
      <c r="H18" s="3">
        <f>E18*G18</f>
        <v/>
      </c>
    </row>
    <row r="19">
      <c r="A19" s="12" t="n">
        <v>46147</v>
      </c>
      <c r="B19" s="5" t="inlineStr">
        <is>
          <t>P001</t>
        </is>
      </c>
      <c r="C19" s="2">
        <f>VLOOKUP($B19,Products!$A$2:$D$11,2,FALSE)</f>
        <v/>
      </c>
      <c r="D19" s="2">
        <f>VLOOKUP($B19,Products!$A$2:$D$11,3,FALSE)</f>
        <v/>
      </c>
      <c r="E19" s="6" t="n">
        <v>20</v>
      </c>
      <c r="F19" s="5" t="inlineStr">
        <is>
          <t>Credit Card</t>
        </is>
      </c>
      <c r="G19" s="3">
        <f>VLOOKUP($B19,Products!$A$2:$D$11,4,FALSE)</f>
        <v/>
      </c>
      <c r="H19" s="3">
        <f>E19*G19</f>
        <v/>
      </c>
    </row>
    <row r="20">
      <c r="A20" s="12" t="n">
        <v>46154</v>
      </c>
      <c r="B20" s="5" t="inlineStr">
        <is>
          <t>P003</t>
        </is>
      </c>
      <c r="C20" s="2">
        <f>VLOOKUP($B20,Products!$A$2:$D$11,2,FALSE)</f>
        <v/>
      </c>
      <c r="D20" s="2">
        <f>VLOOKUP($B20,Products!$A$2:$D$11,3,FALSE)</f>
        <v/>
      </c>
      <c r="E20" s="6" t="n">
        <v>7</v>
      </c>
      <c r="F20" s="5" t="inlineStr">
        <is>
          <t>Cash</t>
        </is>
      </c>
      <c r="G20" s="3">
        <f>VLOOKUP($B20,Products!$A$2:$D$11,4,FALSE)</f>
        <v/>
      </c>
      <c r="H20" s="3">
        <f>E20*G20</f>
        <v/>
      </c>
    </row>
    <row r="21">
      <c r="A21" s="12" t="n">
        <v>46161</v>
      </c>
      <c r="B21" s="5" t="inlineStr">
        <is>
          <t>P009</t>
        </is>
      </c>
      <c r="C21" s="2">
        <f>VLOOKUP($B21,Products!$A$2:$D$11,2,FALSE)</f>
        <v/>
      </c>
      <c r="D21" s="2">
        <f>VLOOKUP($B21,Products!$A$2:$D$11,3,FALSE)</f>
        <v/>
      </c>
      <c r="E21" s="6" t="n">
        <v>25</v>
      </c>
      <c r="F21" s="5" t="inlineStr">
        <is>
          <t>Cash</t>
        </is>
      </c>
      <c r="G21" s="3">
        <f>VLOOKUP($B21,Products!$A$2:$D$11,4,FALSE)</f>
        <v/>
      </c>
      <c r="H21" s="3">
        <f>E21*G21</f>
        <v/>
      </c>
    </row>
    <row r="22">
      <c r="A22" s="12" t="n">
        <v>46168</v>
      </c>
      <c r="B22" s="5" t="inlineStr">
        <is>
          <t>P006</t>
        </is>
      </c>
      <c r="C22" s="2">
        <f>VLOOKUP($B22,Products!$A$2:$D$11,2,FALSE)</f>
        <v/>
      </c>
      <c r="D22" s="2">
        <f>VLOOKUP($B22,Products!$A$2:$D$11,3,FALSE)</f>
        <v/>
      </c>
      <c r="E22" s="6" t="n">
        <v>8</v>
      </c>
      <c r="F22" s="5" t="inlineStr">
        <is>
          <t>Bank Transfer</t>
        </is>
      </c>
      <c r="G22" s="3">
        <f>VLOOKUP($B22,Products!$A$2:$D$11,4,FALSE)</f>
        <v/>
      </c>
      <c r="H22" s="3">
        <f>E22*G22</f>
        <v/>
      </c>
    </row>
    <row r="23">
      <c r="A23" s="12" t="n">
        <v>46175</v>
      </c>
      <c r="B23" s="5" t="inlineStr">
        <is>
          <t>P010</t>
        </is>
      </c>
      <c r="C23" s="2">
        <f>VLOOKUP($B23,Products!$A$2:$D$11,2,FALSE)</f>
        <v/>
      </c>
      <c r="D23" s="2">
        <f>VLOOKUP($B23,Products!$A$2:$D$11,3,FALSE)</f>
        <v/>
      </c>
      <c r="E23" s="6" t="n">
        <v>4</v>
      </c>
      <c r="F23" s="5" t="inlineStr">
        <is>
          <t>Cash</t>
        </is>
      </c>
      <c r="G23" s="3">
        <f>VLOOKUP($B23,Products!$A$2:$D$11,4,FALSE)</f>
        <v/>
      </c>
      <c r="H23" s="3">
        <f>E23*G23</f>
        <v/>
      </c>
    </row>
    <row r="24">
      <c r="A24" s="12" t="n">
        <v>46183</v>
      </c>
      <c r="B24" s="5" t="inlineStr">
        <is>
          <t>P007</t>
        </is>
      </c>
      <c r="C24" s="2">
        <f>VLOOKUP($B24,Products!$A$2:$D$11,2,FALSE)</f>
        <v/>
      </c>
      <c r="D24" s="2">
        <f>VLOOKUP($B24,Products!$A$2:$D$11,3,FALSE)</f>
        <v/>
      </c>
      <c r="E24" s="6" t="n">
        <v>1</v>
      </c>
      <c r="F24" s="5" t="inlineStr">
        <is>
          <t>Credit Card</t>
        </is>
      </c>
      <c r="G24" s="3">
        <f>VLOOKUP($B24,Products!$A$2:$D$11,4,FALSE)</f>
        <v/>
      </c>
      <c r="H24" s="3">
        <f>E24*G24</f>
        <v/>
      </c>
    </row>
    <row r="25">
      <c r="A25" s="12" t="n">
        <v>46191</v>
      </c>
      <c r="B25" s="5" t="inlineStr">
        <is>
          <t>P002</t>
        </is>
      </c>
      <c r="C25" s="2">
        <f>VLOOKUP($B25,Products!$A$2:$D$11,2,FALSE)</f>
        <v/>
      </c>
      <c r="D25" s="2">
        <f>VLOOKUP($B25,Products!$A$2:$D$11,3,FALSE)</f>
        <v/>
      </c>
      <c r="E25" s="6" t="n">
        <v>14</v>
      </c>
      <c r="F25" s="5" t="inlineStr">
        <is>
          <t>Bank Transfer</t>
        </is>
      </c>
      <c r="G25" s="3">
        <f>VLOOKUP($B25,Products!$A$2:$D$11,4,FALSE)</f>
        <v/>
      </c>
      <c r="H25" s="3">
        <f>E25*G25</f>
        <v/>
      </c>
    </row>
    <row r="26">
      <c r="A26" s="12" t="n">
        <v>46198</v>
      </c>
      <c r="B26" s="5" t="inlineStr">
        <is>
          <t>P005</t>
        </is>
      </c>
      <c r="C26" s="2">
        <f>VLOOKUP($B26,Products!$A$2:$D$11,2,FALSE)</f>
        <v/>
      </c>
      <c r="D26" s="2">
        <f>VLOOKUP($B26,Products!$A$2:$D$11,3,FALSE)</f>
        <v/>
      </c>
      <c r="E26" s="6" t="n">
        <v>9</v>
      </c>
      <c r="F26" s="5" t="inlineStr">
        <is>
          <t>Cash</t>
        </is>
      </c>
      <c r="G26" s="3">
        <f>VLOOKUP($B26,Products!$A$2:$D$11,4,FALSE)</f>
        <v/>
      </c>
      <c r="H26" s="3">
        <f>E26*G26</f>
        <v/>
      </c>
    </row>
    <row r="27">
      <c r="A27" s="7" t="inlineStr">
        <is>
          <t>TOTAL</t>
        </is>
      </c>
      <c r="B27" s="7" t="n"/>
      <c r="C27" s="7" t="n"/>
      <c r="D27" s="7" t="n"/>
      <c r="E27" s="8">
        <f>SUM(E2:E26)</f>
        <v/>
      </c>
      <c r="F27" s="7" t="n"/>
      <c r="G27" s="7" t="n"/>
      <c r="H27" s="9">
        <f>SUM(H2:H26)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  <col width="27" customWidth="1" min="5" max="5"/>
  </cols>
  <sheetData>
    <row r="1">
      <c r="A1" s="1" t="inlineStr">
        <is>
          <t>Month</t>
        </is>
      </c>
      <c r="B1" s="1" t="inlineStr">
        <is>
          <t>Transactions</t>
        </is>
      </c>
      <c r="C1" s="1" t="inlineStr">
        <is>
          <t>Total Qty Sold</t>
        </is>
      </c>
      <c r="D1" s="1" t="inlineStr">
        <is>
          <t>Total Revenue (RM)</t>
        </is>
      </c>
      <c r="E1" s="1" t="inlineStr">
        <is>
          <t>Average Order Value (RM)</t>
        </is>
      </c>
    </row>
    <row r="2">
      <c r="A2" s="2" t="inlineStr">
        <is>
          <t>January 2026</t>
        </is>
      </c>
      <c r="B2" s="6">
        <f>COUNTIFS(Sales!$A$2:$A$26,"&gt;="&amp;DATE(2026,1,1),Sales!$A$2:$A$26,"&lt;"&amp;DATE(2026,2,1))</f>
        <v/>
      </c>
      <c r="C2" s="6">
        <f>SUMPRODUCT((Sales!$A$2:$A$26&gt;=DATE(2026,1,1))*(Sales!$A$2:$A$26&lt;DATE(2026,2,1))*Sales!$E$2:$E$26)</f>
        <v/>
      </c>
      <c r="D2" s="3">
        <f>SUMPRODUCT((Sales!$A$2:$A$26&gt;=DATE(2026,1,1))*(Sales!$A$2:$A$26&lt;DATE(2026,2,1))*Sales!$H$2:$H$26)</f>
        <v/>
      </c>
      <c r="E2" s="3">
        <f>IFERROR(D2/B2,0)</f>
        <v/>
      </c>
    </row>
    <row r="3">
      <c r="A3" s="2" t="inlineStr">
        <is>
          <t>February 2026</t>
        </is>
      </c>
      <c r="B3" s="6">
        <f>COUNTIFS(Sales!$A$2:$A$26,"&gt;="&amp;DATE(2026,2,1),Sales!$A$2:$A$26,"&lt;"&amp;DATE(2026,3,1))</f>
        <v/>
      </c>
      <c r="C3" s="6">
        <f>SUMPRODUCT((Sales!$A$2:$A$26&gt;=DATE(2026,2,1))*(Sales!$A$2:$A$26&lt;DATE(2026,3,1))*Sales!$E$2:$E$26)</f>
        <v/>
      </c>
      <c r="D3" s="3">
        <f>SUMPRODUCT((Sales!$A$2:$A$26&gt;=DATE(2026,2,1))*(Sales!$A$2:$A$26&lt;DATE(2026,3,1))*Sales!$H$2:$H$26)</f>
        <v/>
      </c>
      <c r="E3" s="3">
        <f>IFERROR(D3/B3,0)</f>
        <v/>
      </c>
    </row>
    <row r="4">
      <c r="A4" s="2" t="inlineStr">
        <is>
          <t>March 2026</t>
        </is>
      </c>
      <c r="B4" s="6">
        <f>COUNTIFS(Sales!$A$2:$A$26,"&gt;="&amp;DATE(2026,3,1),Sales!$A$2:$A$26,"&lt;"&amp;DATE(2026,4,1))</f>
        <v/>
      </c>
      <c r="C4" s="6">
        <f>SUMPRODUCT((Sales!$A$2:$A$26&gt;=DATE(2026,3,1))*(Sales!$A$2:$A$26&lt;DATE(2026,4,1))*Sales!$E$2:$E$26)</f>
        <v/>
      </c>
      <c r="D4" s="3">
        <f>SUMPRODUCT((Sales!$A$2:$A$26&gt;=DATE(2026,3,1))*(Sales!$A$2:$A$26&lt;DATE(2026,4,1))*Sales!$H$2:$H$26)</f>
        <v/>
      </c>
      <c r="E4" s="3">
        <f>IFERROR(D4/B4,0)</f>
        <v/>
      </c>
    </row>
    <row r="5">
      <c r="A5" s="2" t="inlineStr">
        <is>
          <t>April 2026</t>
        </is>
      </c>
      <c r="B5" s="6">
        <f>COUNTIFS(Sales!$A$2:$A$26,"&gt;="&amp;DATE(2026,4,1),Sales!$A$2:$A$26,"&lt;"&amp;DATE(2026,5,1))</f>
        <v/>
      </c>
      <c r="C5" s="6">
        <f>SUMPRODUCT((Sales!$A$2:$A$26&gt;=DATE(2026,4,1))*(Sales!$A$2:$A$26&lt;DATE(2026,5,1))*Sales!$E$2:$E$26)</f>
        <v/>
      </c>
      <c r="D5" s="3">
        <f>SUMPRODUCT((Sales!$A$2:$A$26&gt;=DATE(2026,4,1))*(Sales!$A$2:$A$26&lt;DATE(2026,5,1))*Sales!$H$2:$H$26)</f>
        <v/>
      </c>
      <c r="E5" s="3">
        <f>IFERROR(D5/B5,0)</f>
        <v/>
      </c>
    </row>
    <row r="6">
      <c r="A6" s="2" t="inlineStr">
        <is>
          <t>May 2026</t>
        </is>
      </c>
      <c r="B6" s="6">
        <f>COUNTIFS(Sales!$A$2:$A$26,"&gt;="&amp;DATE(2026,5,1),Sales!$A$2:$A$26,"&lt;"&amp;DATE(2026,6,1))</f>
        <v/>
      </c>
      <c r="C6" s="6">
        <f>SUMPRODUCT((Sales!$A$2:$A$26&gt;=DATE(2026,5,1))*(Sales!$A$2:$A$26&lt;DATE(2026,6,1))*Sales!$E$2:$E$26)</f>
        <v/>
      </c>
      <c r="D6" s="3">
        <f>SUMPRODUCT((Sales!$A$2:$A$26&gt;=DATE(2026,5,1))*(Sales!$A$2:$A$26&lt;DATE(2026,6,1))*Sales!$H$2:$H$26)</f>
        <v/>
      </c>
      <c r="E6" s="3">
        <f>IFERROR(D6/B6,0)</f>
        <v/>
      </c>
    </row>
    <row r="7">
      <c r="A7" s="2" t="inlineStr">
        <is>
          <t>June 2026</t>
        </is>
      </c>
      <c r="B7" s="6">
        <f>COUNTIFS(Sales!$A$2:$A$26,"&gt;="&amp;DATE(2026,6,1),Sales!$A$2:$A$26,"&lt;"&amp;DATE(2026,7,1))</f>
        <v/>
      </c>
      <c r="C7" s="6">
        <f>SUMPRODUCT((Sales!$A$2:$A$26&gt;=DATE(2026,6,1))*(Sales!$A$2:$A$26&lt;DATE(2026,7,1))*Sales!$E$2:$E$26)</f>
        <v/>
      </c>
      <c r="D7" s="3">
        <f>SUMPRODUCT((Sales!$A$2:$A$26&gt;=DATE(2026,6,1))*(Sales!$A$2:$A$26&lt;DATE(2026,7,1))*Sales!$H$2:$H$26)</f>
        <v/>
      </c>
      <c r="E7" s="3">
        <f>IFERROR(D7/B7,0)</f>
        <v/>
      </c>
    </row>
    <row r="8">
      <c r="A8" s="7" t="inlineStr">
        <is>
          <t>TOTAL</t>
        </is>
      </c>
      <c r="B8" s="8">
        <f>SUM(B2:B7)</f>
        <v/>
      </c>
      <c r="C8" s="8">
        <f>SUM(C2:C7)</f>
        <v/>
      </c>
      <c r="D8" s="9">
        <f>SUM(D2:D7)</f>
        <v/>
      </c>
      <c r="E8" s="9">
        <f>IFERROR(D8/B8,0)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21" customWidth="1" min="5" max="5"/>
  </cols>
  <sheetData>
    <row r="1">
      <c r="A1" s="1" t="inlineStr">
        <is>
          <t>Category</t>
        </is>
      </c>
      <c r="B1" s="1" t="inlineStr">
        <is>
          <t>Products</t>
        </is>
      </c>
      <c r="C1" s="1" t="inlineStr">
        <is>
          <t>Total Qty Sold</t>
        </is>
      </c>
      <c r="D1" s="1" t="inlineStr">
        <is>
          <t>Total Revenue (RM)</t>
        </is>
      </c>
      <c r="E1" s="1" t="inlineStr">
        <is>
          <t>% of Total Revenue</t>
        </is>
      </c>
    </row>
    <row r="2">
      <c r="A2" s="2" t="inlineStr">
        <is>
          <t>Electronics</t>
        </is>
      </c>
      <c r="B2" s="6">
        <f>COUNTIF(Products!$C$2:$C$11,A2)</f>
        <v/>
      </c>
      <c r="C2" s="6">
        <f>SUMIF(Sales!$D$2:$D$26,A2,Sales!$E$2:$E$26)</f>
        <v/>
      </c>
      <c r="D2" s="3">
        <f>SUMIF(Sales!$D$2:$D$26,A2,Sales!$H$2:$H$26)</f>
        <v/>
      </c>
      <c r="E2" s="13">
        <f>IFERROR(D2/D$6,0)</f>
        <v/>
      </c>
    </row>
    <row r="3">
      <c r="A3" s="2" t="inlineStr">
        <is>
          <t>Accessories</t>
        </is>
      </c>
      <c r="B3" s="6">
        <f>COUNTIF(Products!$C$2:$C$11,A3)</f>
        <v/>
      </c>
      <c r="C3" s="6">
        <f>SUMIF(Sales!$D$2:$D$26,A3,Sales!$E$2:$E$26)</f>
        <v/>
      </c>
      <c r="D3" s="3">
        <f>SUMIF(Sales!$D$2:$D$26,A3,Sales!$H$2:$H$26)</f>
        <v/>
      </c>
      <c r="E3" s="13">
        <f>IFERROR(D3/D$6,0)</f>
        <v/>
      </c>
    </row>
    <row r="4">
      <c r="A4" s="2" t="inlineStr">
        <is>
          <t>Furniture</t>
        </is>
      </c>
      <c r="B4" s="6">
        <f>COUNTIF(Products!$C$2:$C$11,A4)</f>
        <v/>
      </c>
      <c r="C4" s="6">
        <f>SUMIF(Sales!$D$2:$D$26,A4,Sales!$E$2:$E$26)</f>
        <v/>
      </c>
      <c r="D4" s="3">
        <f>SUMIF(Sales!$D$2:$D$26,A4,Sales!$H$2:$H$26)</f>
        <v/>
      </c>
      <c r="E4" s="13">
        <f>IFERROR(D4/D$6,0)</f>
        <v/>
      </c>
    </row>
    <row r="5">
      <c r="A5" s="2" t="inlineStr">
        <is>
          <t>Stationery</t>
        </is>
      </c>
      <c r="B5" s="6">
        <f>COUNTIF(Products!$C$2:$C$11,A5)</f>
        <v/>
      </c>
      <c r="C5" s="6">
        <f>SUMIF(Sales!$D$2:$D$26,A5,Sales!$E$2:$E$26)</f>
        <v/>
      </c>
      <c r="D5" s="3">
        <f>SUMIF(Sales!$D$2:$D$26,A5,Sales!$H$2:$H$26)</f>
        <v/>
      </c>
      <c r="E5" s="13">
        <f>IFERROR(D5/D$6,0)</f>
        <v/>
      </c>
    </row>
    <row r="6">
      <c r="A6" s="7" t="inlineStr">
        <is>
          <t>TOTAL</t>
        </is>
      </c>
      <c r="B6" s="8">
        <f>SUM(B2:B5)</f>
        <v/>
      </c>
      <c r="C6" s="8">
        <f>SUM(C2:C5)</f>
        <v/>
      </c>
      <c r="D6" s="9">
        <f>SUM(D2:D5)</f>
        <v/>
      </c>
      <c r="E6" s="14">
        <f>SUM(E2:E5)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0" customWidth="1" min="4" max="4"/>
    <col width="21" customWidth="1" min="5" max="5"/>
  </cols>
  <sheetData>
    <row r="1">
      <c r="A1" s="1" t="inlineStr">
        <is>
          <t>Payment Method</t>
        </is>
      </c>
      <c r="B1" s="1" t="inlineStr">
        <is>
          <t>Transactions</t>
        </is>
      </c>
      <c r="C1" s="1" t="inlineStr">
        <is>
          <t>Total Qty</t>
        </is>
      </c>
      <c r="D1" s="1" t="inlineStr">
        <is>
          <t>Total Revenue (RM)</t>
        </is>
      </c>
      <c r="E1" s="1" t="inlineStr">
        <is>
          <t>% of Revenue</t>
        </is>
      </c>
    </row>
    <row r="2">
      <c r="A2" s="2" t="inlineStr">
        <is>
          <t>Cash</t>
        </is>
      </c>
      <c r="B2" s="6">
        <f>COUNTIF(Sales!$F$2:$F$26,A2)</f>
        <v/>
      </c>
      <c r="C2" s="6">
        <f>SUMIF(Sales!$F$2:$F$26,A2,Sales!$E$2:$E$26)</f>
        <v/>
      </c>
      <c r="D2" s="3">
        <f>SUMIF(Sales!$F$2:$F$26,A2,Sales!$H$2:$H$26)</f>
        <v/>
      </c>
      <c r="E2" s="13">
        <f>IFERROR(D2/D$5,0)</f>
        <v/>
      </c>
    </row>
    <row r="3">
      <c r="A3" s="2" t="inlineStr">
        <is>
          <t>Credit Card</t>
        </is>
      </c>
      <c r="B3" s="6">
        <f>COUNTIF(Sales!$F$2:$F$26,A3)</f>
        <v/>
      </c>
      <c r="C3" s="6">
        <f>SUMIF(Sales!$F$2:$F$26,A3,Sales!$E$2:$E$26)</f>
        <v/>
      </c>
      <c r="D3" s="3">
        <f>SUMIF(Sales!$F$2:$F$26,A3,Sales!$H$2:$H$26)</f>
        <v/>
      </c>
      <c r="E3" s="13">
        <f>IFERROR(D3/D$5,0)</f>
        <v/>
      </c>
    </row>
    <row r="4">
      <c r="A4" s="2" t="inlineStr">
        <is>
          <t>Bank Transfer</t>
        </is>
      </c>
      <c r="B4" s="6">
        <f>COUNTIF(Sales!$F$2:$F$26,A4)</f>
        <v/>
      </c>
      <c r="C4" s="6">
        <f>SUMIF(Sales!$F$2:$F$26,A4,Sales!$E$2:$E$26)</f>
        <v/>
      </c>
      <c r="D4" s="3">
        <f>SUMIF(Sales!$F$2:$F$26,A4,Sales!$H$2:$H$26)</f>
        <v/>
      </c>
      <c r="E4" s="13">
        <f>IFERROR(D4/D$5,0)</f>
        <v/>
      </c>
    </row>
    <row r="5">
      <c r="A5" s="7" t="inlineStr">
        <is>
          <t>TOTAL</t>
        </is>
      </c>
      <c r="B5" s="8">
        <f>SUM(B2:B4)</f>
        <v/>
      </c>
      <c r="C5" s="8">
        <f>SUM(C2:C4)</f>
        <v/>
      </c>
      <c r="D5" s="9">
        <f>SUM(D2:D4)</f>
        <v/>
      </c>
      <c r="E5" s="14">
        <f>SUM(E2:E4)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2026-09-15T16:01:39Z</dcterms:created>
  <dcterms:modified xsi:type="dcterms:W3CDTF">2026-09-15T16:03:37Z</dcterms:modified>
</cp:coreProperties>
</file>